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ylor0-my.sharepoint.com/personal/luke_day1_baylor_edu/Documents/Lab Transfer Folder/Pond Core Data/"/>
    </mc:Choice>
  </mc:AlternateContent>
  <xr:revisionPtr revIDLastSave="258" documentId="8_{67EDEFFE-8E19-497D-8565-70DAC90DDF46}" xr6:coauthVersionLast="47" xr6:coauthVersionMax="47" xr10:uidLastSave="{F9F3B5A0-8DF4-423E-ACC9-136D5D7FB2B4}"/>
  <bookViews>
    <workbookView xWindow="-110" yWindow="-110" windowWidth="19420" windowHeight="10300" activeTab="2" xr2:uid="{03B46C7F-DCC0-4C4B-907A-6945B1296AE4}"/>
  </bookViews>
  <sheets>
    <sheet name="Key" sheetId="2" r:id="rId1"/>
    <sheet name=" Core Locations &amp; Depths" sheetId="4" r:id="rId2"/>
    <sheet name="Raw Data" sheetId="1" r:id="rId3"/>
    <sheet name=" Calculations &amp; Graphs" sheetId="3" r:id="rId4"/>
  </sheets>
  <definedNames>
    <definedName name="_xlchart.v1.0" hidden="1">' Calculations &amp; Graphs'!$Q$2</definedName>
    <definedName name="_xlchart.v1.1" hidden="1">' Calculations &amp; Graphs'!$Q$3</definedName>
    <definedName name="_xlchart.v1.10" hidden="1">' Calculations &amp; Graphs'!$N$23:$N$25</definedName>
    <definedName name="_xlchart.v1.11" hidden="1">' Calculations &amp; Graphs'!$N$6:$N$9</definedName>
    <definedName name="_xlchart.v1.2" hidden="1">' Calculations &amp; Graphs'!$Q$4</definedName>
    <definedName name="_xlchart.v1.3" hidden="1">(' Calculations &amp; Graphs'!$N$2,' Calculations &amp; Graphs'!$N$6,' Calculations &amp; Graphs'!$N$10,' Calculations &amp; Graphs'!$N$14,' Calculations &amp; Graphs'!$N$19,' Calculations &amp; Graphs'!$N$23)</definedName>
    <definedName name="_xlchart.v1.4" hidden="1">(' Calculations &amp; Graphs'!$N$3,' Calculations &amp; Graphs'!$N$7,' Calculations &amp; Graphs'!$N$11,' Calculations &amp; Graphs'!$N$15,' Calculations &amp; Graphs'!$N$20,' Calculations &amp; Graphs'!$N$24)</definedName>
    <definedName name="_xlchart.v1.5" hidden="1">(' Calculations &amp; Graphs'!$N$4,' Calculations &amp; Graphs'!$N$8,' Calculations &amp; Graphs'!$N$12,' Calculations &amp; Graphs'!$N$16,' Calculations &amp; Graphs'!$N$21,' Calculations &amp; Graphs'!$N$25)</definedName>
    <definedName name="_xlchart.v1.6" hidden="1">(' Calculations &amp; Graphs'!$N$5,' Calculations &amp; Graphs'!$N$9,' Calculations &amp; Graphs'!$N$13,' Calculations &amp; Graphs'!$N$17,' Calculations &amp; Graphs'!$N$18,' Calculations &amp; Graphs'!$N$22)</definedName>
    <definedName name="_xlchart.v1.7" hidden="1">' Calculations &amp; Graphs'!$N$10:$N$13</definedName>
    <definedName name="_xlchart.v1.8" hidden="1">' Calculations &amp; Graphs'!$N$14:$N$18</definedName>
    <definedName name="_xlchart.v1.9" hidden="1">' Calculations &amp; Graphs'!$N$19:$N$22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4" l="1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J2" i="4"/>
  <c r="I2" i="4"/>
  <c r="O2" i="3"/>
  <c r="P2" i="3" s="1"/>
  <c r="M2" i="3"/>
  <c r="L2" i="3"/>
  <c r="K2" i="3"/>
  <c r="J2" i="3"/>
  <c r="I2" i="3"/>
  <c r="N2" i="3" s="1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O18" i="3"/>
  <c r="P18" i="3" s="1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H2" i="4"/>
  <c r="K3" i="3"/>
  <c r="O3" i="3" s="1"/>
  <c r="P3" i="3" s="1"/>
  <c r="K4" i="3"/>
  <c r="O4" i="3" s="1"/>
  <c r="P4" i="3" s="1"/>
  <c r="K5" i="3"/>
  <c r="O5" i="3" s="1"/>
  <c r="P5" i="3" s="1"/>
  <c r="K6" i="3"/>
  <c r="O6" i="3" s="1"/>
  <c r="P6" i="3" s="1"/>
  <c r="K7" i="3"/>
  <c r="O7" i="3" s="1"/>
  <c r="P7" i="3" s="1"/>
  <c r="K8" i="3"/>
  <c r="O8" i="3" s="1"/>
  <c r="P8" i="3" s="1"/>
  <c r="K9" i="3"/>
  <c r="O9" i="3" s="1"/>
  <c r="P9" i="3" s="1"/>
  <c r="K10" i="3"/>
  <c r="O10" i="3" s="1"/>
  <c r="P10" i="3" s="1"/>
  <c r="K11" i="3"/>
  <c r="O11" i="3" s="1"/>
  <c r="P11" i="3" s="1"/>
  <c r="K12" i="3"/>
  <c r="O12" i="3" s="1"/>
  <c r="P12" i="3" s="1"/>
  <c r="K13" i="3"/>
  <c r="O13" i="3" s="1"/>
  <c r="P13" i="3" s="1"/>
  <c r="K14" i="3"/>
  <c r="O14" i="3" s="1"/>
  <c r="P14" i="3" s="1"/>
  <c r="K15" i="3"/>
  <c r="O15" i="3" s="1"/>
  <c r="P15" i="3" s="1"/>
  <c r="K16" i="3"/>
  <c r="O16" i="3" s="1"/>
  <c r="P16" i="3" s="1"/>
  <c r="K17" i="3"/>
  <c r="O17" i="3" s="1"/>
  <c r="P17" i="3" s="1"/>
  <c r="K18" i="3"/>
  <c r="K19" i="3"/>
  <c r="O19" i="3" s="1"/>
  <c r="P19" i="3" s="1"/>
  <c r="K20" i="3"/>
  <c r="O20" i="3" s="1"/>
  <c r="P20" i="3" s="1"/>
  <c r="K21" i="3"/>
  <c r="O21" i="3" s="1"/>
  <c r="P21" i="3" s="1"/>
  <c r="K22" i="3"/>
  <c r="O22" i="3" s="1"/>
  <c r="P22" i="3" s="1"/>
  <c r="K23" i="3"/>
  <c r="O23" i="3" s="1"/>
  <c r="P23" i="3" s="1"/>
  <c r="K24" i="3"/>
  <c r="O24" i="3" s="1"/>
  <c r="P24" i="3" s="1"/>
  <c r="K25" i="3"/>
  <c r="O25" i="3" s="1"/>
  <c r="P25" i="3" s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N22" i="3" l="1"/>
  <c r="N21" i="3"/>
  <c r="N20" i="3"/>
  <c r="N19" i="3"/>
  <c r="N7" i="3"/>
  <c r="N18" i="3"/>
  <c r="N6" i="3"/>
  <c r="N17" i="3"/>
  <c r="N5" i="3"/>
  <c r="N16" i="3"/>
  <c r="N4" i="3"/>
  <c r="N15" i="3"/>
  <c r="N3" i="3"/>
  <c r="N14" i="3"/>
  <c r="N25" i="3"/>
  <c r="N13" i="3"/>
  <c r="N24" i="3"/>
  <c r="N12" i="3"/>
  <c r="N23" i="3"/>
  <c r="N11" i="3"/>
  <c r="N10" i="3"/>
  <c r="N9" i="3"/>
  <c r="N8" i="3"/>
</calcChain>
</file>

<file path=xl/sharedStrings.xml><?xml version="1.0" encoding="utf-8"?>
<sst xmlns="http://schemas.openxmlformats.org/spreadsheetml/2006/main" count="125" uniqueCount="73">
  <si>
    <t>Tin #</t>
  </si>
  <si>
    <t>tin + wet (g)</t>
  </si>
  <si>
    <t>tin + dry (g)</t>
  </si>
  <si>
    <t xml:space="preserve"> tin + ashed (g)</t>
  </si>
  <si>
    <t>section length (cm)</t>
  </si>
  <si>
    <t>Core</t>
  </si>
  <si>
    <t>Note</t>
  </si>
  <si>
    <t>0-2</t>
  </si>
  <si>
    <t>2-4</t>
  </si>
  <si>
    <t>Section</t>
  </si>
  <si>
    <t>core tube inner diameter</t>
  </si>
  <si>
    <t>2.1 cm</t>
  </si>
  <si>
    <t>volume (cm^2)</t>
  </si>
  <si>
    <t>tin empty (g)</t>
  </si>
  <si>
    <t>tin #</t>
  </si>
  <si>
    <t>wet sediment (g)</t>
  </si>
  <si>
    <t>dry sediment (g)</t>
  </si>
  <si>
    <t>ashed sediment (g)</t>
  </si>
  <si>
    <t>bulk density (g/cm^2)</t>
  </si>
  <si>
    <t>sediment depth (cm)</t>
  </si>
  <si>
    <t>Latitude</t>
  </si>
  <si>
    <t>Longitude</t>
  </si>
  <si>
    <t>Site</t>
  </si>
  <si>
    <t>-</t>
  </si>
  <si>
    <t>depthtrax (ft)</t>
  </si>
  <si>
    <t>pole depth (cm)</t>
  </si>
  <si>
    <t>DTR (cm)</t>
  </si>
  <si>
    <t>depthtrax (cm)</t>
  </si>
  <si>
    <t>true pole depth (cm)</t>
  </si>
  <si>
    <t>true DTR (cm)</t>
  </si>
  <si>
    <t>core tube lengths</t>
  </si>
  <si>
    <t>addition to pole measurements</t>
  </si>
  <si>
    <t>100 cm</t>
  </si>
  <si>
    <t>115 cm</t>
  </si>
  <si>
    <t>tin + ashed, rehydrated (g)</t>
  </si>
  <si>
    <t>rehydrated sediment (g)</t>
  </si>
  <si>
    <t>deeper min</t>
  </si>
  <si>
    <t>deeper max</t>
  </si>
  <si>
    <t>AFDM</t>
  </si>
  <si>
    <t>LOI</t>
  </si>
  <si>
    <t>4-8</t>
  </si>
  <si>
    <t>8-12</t>
  </si>
  <si>
    <t>C1-1</t>
  </si>
  <si>
    <t>C1-2</t>
  </si>
  <si>
    <t>C2-1</t>
  </si>
  <si>
    <t>C2-2</t>
  </si>
  <si>
    <t>C3-1</t>
  </si>
  <si>
    <t>C3-2</t>
  </si>
  <si>
    <t>C4-1</t>
  </si>
  <si>
    <t>C4-2</t>
  </si>
  <si>
    <t>C5-1</t>
  </si>
  <si>
    <t>C5-2</t>
  </si>
  <si>
    <t>3.5</t>
  </si>
  <si>
    <t>0-4</t>
  </si>
  <si>
    <t>8-16</t>
  </si>
  <si>
    <t>16-22.5</t>
  </si>
  <si>
    <t>16-21</t>
  </si>
  <si>
    <t>1-1</t>
  </si>
  <si>
    <t>2-1</t>
  </si>
  <si>
    <t>WR-1 tin #</t>
  </si>
  <si>
    <t>16-19.5</t>
  </si>
  <si>
    <t>3-1</t>
  </si>
  <si>
    <t>tin after GS (g)</t>
  </si>
  <si>
    <t>4-1</t>
  </si>
  <si>
    <t>5-1</t>
  </si>
  <si>
    <t>16-18.5</t>
  </si>
  <si>
    <t>Notes</t>
  </si>
  <si>
    <t>there was big chunk of plant</t>
  </si>
  <si>
    <t>large chunk of organic (wood, seed, or other?)</t>
  </si>
  <si>
    <t>long fiber of organic material</t>
  </si>
  <si>
    <t>first tin empty (g)</t>
  </si>
  <si>
    <t>second tin empty (g)</t>
  </si>
  <si>
    <t>second tin + dust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</si>
</sst>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Depth Measurement Methods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 Core Locations &amp; Depths'!$H$1</c:f>
              <c:strCache>
                <c:ptCount val="1"/>
                <c:pt idx="0">
                  <c:v>depthtrax (cm)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 Core Locations &amp; Depths'!$A$2:$A$17</c:f>
              <c:strCache>
                <c:ptCount val="16"/>
                <c:pt idx="0">
                  <c:v>0.5</c:v>
                </c:pt>
                <c:pt idx="1">
                  <c:v>C1-1</c:v>
                </c:pt>
                <c:pt idx="2">
                  <c:v>C1-2</c:v>
                </c:pt>
                <c:pt idx="3">
                  <c:v>1.5</c:v>
                </c:pt>
                <c:pt idx="4">
                  <c:v>C2-1</c:v>
                </c:pt>
                <c:pt idx="5">
                  <c:v>C2-2</c:v>
                </c:pt>
                <c:pt idx="6">
                  <c:v>2.5</c:v>
                </c:pt>
                <c:pt idx="7">
                  <c:v>C3-1</c:v>
                </c:pt>
                <c:pt idx="8">
                  <c:v>C3-2</c:v>
                </c:pt>
                <c:pt idx="9">
                  <c:v>3.5</c:v>
                </c:pt>
                <c:pt idx="10">
                  <c:v>C4-1</c:v>
                </c:pt>
                <c:pt idx="11">
                  <c:v>C4-2</c:v>
                </c:pt>
                <c:pt idx="12">
                  <c:v>4.5</c:v>
                </c:pt>
                <c:pt idx="13">
                  <c:v>C5-1</c:v>
                </c:pt>
                <c:pt idx="14">
                  <c:v>C5-2</c:v>
                </c:pt>
                <c:pt idx="15">
                  <c:v>5.5</c:v>
                </c:pt>
              </c:strCache>
            </c:strRef>
          </c:xVal>
          <c:yVal>
            <c:numRef>
              <c:f>' Core Locations &amp; Depths'!$H$2:$H$17</c:f>
              <c:numCache>
                <c:formatCode>General</c:formatCode>
                <c:ptCount val="16"/>
                <c:pt idx="0">
                  <c:v>167.64</c:v>
                </c:pt>
                <c:pt idx="1">
                  <c:v>210.31200000000001</c:v>
                </c:pt>
                <c:pt idx="2">
                  <c:v>192.024</c:v>
                </c:pt>
                <c:pt idx="3">
                  <c:v>237.744</c:v>
                </c:pt>
                <c:pt idx="4">
                  <c:v>134.11200000000002</c:v>
                </c:pt>
                <c:pt idx="5">
                  <c:v>128.01599999999999</c:v>
                </c:pt>
                <c:pt idx="6">
                  <c:v>112.77600000000001</c:v>
                </c:pt>
                <c:pt idx="7">
                  <c:v>131.06399999999999</c:v>
                </c:pt>
                <c:pt idx="8">
                  <c:v>124.96799999999999</c:v>
                </c:pt>
                <c:pt idx="9">
                  <c:v>118.872</c:v>
                </c:pt>
                <c:pt idx="10">
                  <c:v>121.92</c:v>
                </c:pt>
                <c:pt idx="11">
                  <c:v>121.92</c:v>
                </c:pt>
                <c:pt idx="12">
                  <c:v>121.92</c:v>
                </c:pt>
                <c:pt idx="13">
                  <c:v>109.72800000000001</c:v>
                </c:pt>
                <c:pt idx="14">
                  <c:v>109.72800000000001</c:v>
                </c:pt>
                <c:pt idx="15">
                  <c:v>97.536000000000001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DF-4D9B-9C4F-484C49464489}"/>
            </c:ext>
          </c:extLst>
        </c:ser>
        <c:ser>
          <c:idx val="1"/>
          <c:order val="1"/>
          <c:tx>
            <c:strRef>
              <c:f>' Core Locations &amp; Depths'!$I$1</c:f>
              <c:strCache>
                <c:ptCount val="1"/>
                <c:pt idx="0">
                  <c:v>true pole depth (cm)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 Core Locations &amp; Depths'!$A$2:$A$17</c:f>
              <c:strCache>
                <c:ptCount val="16"/>
                <c:pt idx="0">
                  <c:v>0.5</c:v>
                </c:pt>
                <c:pt idx="1">
                  <c:v>C1-1</c:v>
                </c:pt>
                <c:pt idx="2">
                  <c:v>C1-2</c:v>
                </c:pt>
                <c:pt idx="3">
                  <c:v>1.5</c:v>
                </c:pt>
                <c:pt idx="4">
                  <c:v>C2-1</c:v>
                </c:pt>
                <c:pt idx="5">
                  <c:v>C2-2</c:v>
                </c:pt>
                <c:pt idx="6">
                  <c:v>2.5</c:v>
                </c:pt>
                <c:pt idx="7">
                  <c:v>C3-1</c:v>
                </c:pt>
                <c:pt idx="8">
                  <c:v>C3-2</c:v>
                </c:pt>
                <c:pt idx="9">
                  <c:v>3.5</c:v>
                </c:pt>
                <c:pt idx="10">
                  <c:v>C4-1</c:v>
                </c:pt>
                <c:pt idx="11">
                  <c:v>C4-2</c:v>
                </c:pt>
                <c:pt idx="12">
                  <c:v>4.5</c:v>
                </c:pt>
                <c:pt idx="13">
                  <c:v>C5-1</c:v>
                </c:pt>
                <c:pt idx="14">
                  <c:v>C5-2</c:v>
                </c:pt>
                <c:pt idx="15">
                  <c:v>5.5</c:v>
                </c:pt>
              </c:strCache>
            </c:strRef>
          </c:xVal>
          <c:yVal>
            <c:numRef>
              <c:f>' Core Locations &amp; Depths'!$I$2:$I$17</c:f>
              <c:numCache>
                <c:formatCode>General</c:formatCode>
                <c:ptCount val="16"/>
                <c:pt idx="0">
                  <c:v>173</c:v>
                </c:pt>
                <c:pt idx="1">
                  <c:v>220</c:v>
                </c:pt>
                <c:pt idx="2">
                  <c:v>209</c:v>
                </c:pt>
                <c:pt idx="3">
                  <c:v>177</c:v>
                </c:pt>
                <c:pt idx="4">
                  <c:v>149</c:v>
                </c:pt>
                <c:pt idx="5">
                  <c:v>140</c:v>
                </c:pt>
                <c:pt idx="6">
                  <c:v>153</c:v>
                </c:pt>
                <c:pt idx="7">
                  <c:v>145</c:v>
                </c:pt>
                <c:pt idx="8">
                  <c:v>134</c:v>
                </c:pt>
                <c:pt idx="9">
                  <c:v>125</c:v>
                </c:pt>
                <c:pt idx="10">
                  <c:v>135</c:v>
                </c:pt>
                <c:pt idx="11">
                  <c:v>143</c:v>
                </c:pt>
                <c:pt idx="12">
                  <c:v>130</c:v>
                </c:pt>
                <c:pt idx="13">
                  <c:v>119</c:v>
                </c:pt>
                <c:pt idx="14">
                  <c:v>119</c:v>
                </c:pt>
                <c:pt idx="15">
                  <c:v>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DF-4D9B-9C4F-484C49464489}"/>
            </c:ext>
          </c:extLst>
        </c:ser>
        <c:ser>
          <c:idx val="2"/>
          <c:order val="2"/>
          <c:tx>
            <c:strRef>
              <c:f>' Core Locations &amp; Depths'!$J$1</c:f>
              <c:strCache>
                <c:ptCount val="1"/>
                <c:pt idx="0">
                  <c:v>true DTR (cm)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' Core Locations &amp; Depths'!$A$2:$A$17</c:f>
              <c:strCache>
                <c:ptCount val="16"/>
                <c:pt idx="0">
                  <c:v>0.5</c:v>
                </c:pt>
                <c:pt idx="1">
                  <c:v>C1-1</c:v>
                </c:pt>
                <c:pt idx="2">
                  <c:v>C1-2</c:v>
                </c:pt>
                <c:pt idx="3">
                  <c:v>1.5</c:v>
                </c:pt>
                <c:pt idx="4">
                  <c:v>C2-1</c:v>
                </c:pt>
                <c:pt idx="5">
                  <c:v>C2-2</c:v>
                </c:pt>
                <c:pt idx="6">
                  <c:v>2.5</c:v>
                </c:pt>
                <c:pt idx="7">
                  <c:v>C3-1</c:v>
                </c:pt>
                <c:pt idx="8">
                  <c:v>C3-2</c:v>
                </c:pt>
                <c:pt idx="9">
                  <c:v>3.5</c:v>
                </c:pt>
                <c:pt idx="10">
                  <c:v>C4-1</c:v>
                </c:pt>
                <c:pt idx="11">
                  <c:v>C4-2</c:v>
                </c:pt>
                <c:pt idx="12">
                  <c:v>4.5</c:v>
                </c:pt>
                <c:pt idx="13">
                  <c:v>C5-1</c:v>
                </c:pt>
                <c:pt idx="14">
                  <c:v>C5-2</c:v>
                </c:pt>
                <c:pt idx="15">
                  <c:v>5.5</c:v>
                </c:pt>
              </c:strCache>
            </c:strRef>
          </c:xVal>
          <c:yVal>
            <c:numRef>
              <c:f>' Core Locations &amp; Depths'!$J$2:$J$18</c:f>
              <c:numCache>
                <c:formatCode>General</c:formatCode>
                <c:ptCount val="17"/>
                <c:pt idx="0">
                  <c:v>191</c:v>
                </c:pt>
                <c:pt idx="1">
                  <c:v>243</c:v>
                </c:pt>
                <c:pt idx="2">
                  <c:v>229</c:v>
                </c:pt>
                <c:pt idx="3">
                  <c:v>202</c:v>
                </c:pt>
                <c:pt idx="4">
                  <c:v>160</c:v>
                </c:pt>
                <c:pt idx="5">
                  <c:v>151</c:v>
                </c:pt>
                <c:pt idx="6">
                  <c:v>168</c:v>
                </c:pt>
                <c:pt idx="7">
                  <c:v>155</c:v>
                </c:pt>
                <c:pt idx="8">
                  <c:v>149</c:v>
                </c:pt>
                <c:pt idx="9">
                  <c:v>140</c:v>
                </c:pt>
                <c:pt idx="10">
                  <c:v>149</c:v>
                </c:pt>
                <c:pt idx="11">
                  <c:v>159</c:v>
                </c:pt>
                <c:pt idx="12">
                  <c:v>146</c:v>
                </c:pt>
                <c:pt idx="13">
                  <c:v>137</c:v>
                </c:pt>
                <c:pt idx="14">
                  <c:v>142</c:v>
                </c:pt>
                <c:pt idx="15">
                  <c:v>119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CDF-4D9B-9C4F-484C49464489}"/>
            </c:ext>
          </c:extLst>
        </c:ser>
        <c:ser>
          <c:idx val="3"/>
          <c:order val="3"/>
          <c:tx>
            <c:strRef>
              <c:f>' Core Locations &amp; Depths'!$K$1</c:f>
              <c:strCache>
                <c:ptCount val="1"/>
                <c:pt idx="0">
                  <c:v>deeper min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' Core Locations &amp; Depths'!$A$2:$A$17</c:f>
              <c:strCache>
                <c:ptCount val="16"/>
                <c:pt idx="0">
                  <c:v>0.5</c:v>
                </c:pt>
                <c:pt idx="1">
                  <c:v>C1-1</c:v>
                </c:pt>
                <c:pt idx="2">
                  <c:v>C1-2</c:v>
                </c:pt>
                <c:pt idx="3">
                  <c:v>1.5</c:v>
                </c:pt>
                <c:pt idx="4">
                  <c:v>C2-1</c:v>
                </c:pt>
                <c:pt idx="5">
                  <c:v>C2-2</c:v>
                </c:pt>
                <c:pt idx="6">
                  <c:v>2.5</c:v>
                </c:pt>
                <c:pt idx="7">
                  <c:v>C3-1</c:v>
                </c:pt>
                <c:pt idx="8">
                  <c:v>C3-2</c:v>
                </c:pt>
                <c:pt idx="9">
                  <c:v>3.5</c:v>
                </c:pt>
                <c:pt idx="10">
                  <c:v>C4-1</c:v>
                </c:pt>
                <c:pt idx="11">
                  <c:v>C4-2</c:v>
                </c:pt>
                <c:pt idx="12">
                  <c:v>4.5</c:v>
                </c:pt>
                <c:pt idx="13">
                  <c:v>C5-1</c:v>
                </c:pt>
                <c:pt idx="14">
                  <c:v>C5-2</c:v>
                </c:pt>
                <c:pt idx="15">
                  <c:v>5.5</c:v>
                </c:pt>
              </c:strCache>
            </c:strRef>
          </c:xVal>
          <c:yVal>
            <c:numRef>
              <c:f>' Core Locations &amp; Depths'!$K$2:$K$17</c:f>
              <c:numCache>
                <c:formatCode>General</c:formatCode>
                <c:ptCount val="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17-42BB-9299-9F08A6558EDD}"/>
            </c:ext>
          </c:extLst>
        </c:ser>
        <c:ser>
          <c:idx val="4"/>
          <c:order val="4"/>
          <c:tx>
            <c:strRef>
              <c:f>' Core Locations &amp; Depths'!$L$1</c:f>
              <c:strCache>
                <c:ptCount val="1"/>
                <c:pt idx="0">
                  <c:v>deeper max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' Core Locations &amp; Depths'!$A$2:$A$17</c:f>
              <c:strCache>
                <c:ptCount val="16"/>
                <c:pt idx="0">
                  <c:v>0.5</c:v>
                </c:pt>
                <c:pt idx="1">
                  <c:v>C1-1</c:v>
                </c:pt>
                <c:pt idx="2">
                  <c:v>C1-2</c:v>
                </c:pt>
                <c:pt idx="3">
                  <c:v>1.5</c:v>
                </c:pt>
                <c:pt idx="4">
                  <c:v>C2-1</c:v>
                </c:pt>
                <c:pt idx="5">
                  <c:v>C2-2</c:v>
                </c:pt>
                <c:pt idx="6">
                  <c:v>2.5</c:v>
                </c:pt>
                <c:pt idx="7">
                  <c:v>C3-1</c:v>
                </c:pt>
                <c:pt idx="8">
                  <c:v>C3-2</c:v>
                </c:pt>
                <c:pt idx="9">
                  <c:v>3.5</c:v>
                </c:pt>
                <c:pt idx="10">
                  <c:v>C4-1</c:v>
                </c:pt>
                <c:pt idx="11">
                  <c:v>C4-2</c:v>
                </c:pt>
                <c:pt idx="12">
                  <c:v>4.5</c:v>
                </c:pt>
                <c:pt idx="13">
                  <c:v>C5-1</c:v>
                </c:pt>
                <c:pt idx="14">
                  <c:v>C5-2</c:v>
                </c:pt>
                <c:pt idx="15">
                  <c:v>5.5</c:v>
                </c:pt>
              </c:strCache>
            </c:strRef>
          </c:xVal>
          <c:yVal>
            <c:numRef>
              <c:f>' Core Locations &amp; Depths'!$L$2:$L$16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17-42BB-9299-9F08A6558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2664959"/>
        <c:axId val="1152020735"/>
      </c:scatterChart>
      <c:valAx>
        <c:axId val="1152664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Location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020735"/>
        <c:crosses val="autoZero"/>
        <c:crossBetween val="midCat"/>
      </c:valAx>
      <c:valAx>
        <c:axId val="115202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6649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surface bulk density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0-2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(' Calculations &amp; Graphs'!$R$6,' Calculations &amp; Graphs'!$R$10,' Calculations &amp; Graphs'!$R$14,' Calculations &amp; Graphs'!$R$19,' Calculations &amp; Graphs'!$R$23)</c:f>
              <c:numCache>
                <c:formatCode>General</c:formatCode>
                <c:ptCount val="5"/>
              </c:numCache>
            </c:numRef>
          </c:xVal>
          <c:yVal>
            <c:numRef>
              <c:f>(' Calculations &amp; Graphs'!$N$6,' Calculations &amp; Graphs'!$N$10,' Calculations &amp; Graphs'!$N$14,' Calculations &amp; Graphs'!$N$19,' Calculations &amp; Graphs'!$N$23)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D1-4144-BB61-5872A2E751FA}"/>
            </c:ext>
          </c:extLst>
        </c:ser>
        <c:ser>
          <c:idx val="1"/>
          <c:order val="1"/>
          <c:tx>
            <c:v>2-4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(' Calculations &amp; Graphs'!$R$6,' Calculations &amp; Graphs'!$R$10,' Calculations &amp; Graphs'!$R$14,' Calculations &amp; Graphs'!$R$19,' Calculations &amp; Graphs'!$R$23)</c:f>
              <c:numCache>
                <c:formatCode>General</c:formatCode>
                <c:ptCount val="5"/>
              </c:numCache>
            </c:numRef>
          </c:xVal>
          <c:yVal>
            <c:numRef>
              <c:f>(' Calculations &amp; Graphs'!$N$7,' Calculations &amp; Graphs'!$N$11,' Calculations &amp; Graphs'!$N$15,' Calculations &amp; Graphs'!$N$20,' Calculations &amp; Graphs'!$N$24)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D1-4144-BB61-5872A2E75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5087535"/>
        <c:axId val="1165060175"/>
      </c:scatterChart>
      <c:valAx>
        <c:axId val="1165087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Core location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060175"/>
        <c:crosses val="autoZero"/>
        <c:crossBetween val="midCat"/>
      </c:valAx>
      <c:valAx>
        <c:axId val="116506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bulk density (g/cm^2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0875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  <cx:data id="1">
      <cx:numDim type="val">
        <cx:f>_xlchart.v1.4</cx:f>
      </cx:numDim>
    </cx:data>
    <cx:data id="2">
      <cx:numDim type="val">
        <cx:f>_xlchart.v1.5</cx:f>
      </cx:numDim>
    </cx:data>
    <cx:data id="3">
      <cx:numDim type="val">
        <cx:f>_xlchart.v1.6</cx:f>
      </cx:numDim>
    </cx:data>
  </cx:chartData>
  <cx:chart>
    <cx:title pos="t" align="ctr" overlay="0">
      <cx:tx>
        <cx:txData>
          <cx:v>Bulk Densities by depth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Bulk Densities by depth</a:t>
          </a:r>
        </a:p>
      </cx:txPr>
    </cx:title>
    <cx:plotArea>
      <cx:plotAreaRegion>
        <cx:series layoutId="boxWhisker" uniqueId="{4C8A0732-3F21-4190-822C-C3A6AA6B9F7B}">
          <cx:tx>
            <cx:txData>
              <cx:f>_xlchart.v1.0</cx:f>
              <cx:v>0-2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9B36-4956-99A0-44CCEC64F8D3}">
          <cx:tx>
            <cx:txData>
              <cx:f>_xlchart.v1.1</cx:f>
              <cx:v>2-4</cx:v>
            </cx:txData>
          </cx:tx>
          <cx:dataId val="1"/>
          <cx:layoutPr>
            <cx:statistics quartileMethod="exclusive"/>
          </cx:layoutPr>
        </cx:series>
        <cx:series layoutId="boxWhisker" uniqueId="{00000002-9B36-4956-99A0-44CCEC64F8D3}">
          <cx:tx>
            <cx:txData>
              <cx:f>_xlchart.v1.2</cx:f>
              <cx:v/>
            </cx:txData>
          </cx:tx>
          <cx:dataId val="2"/>
          <cx:layoutPr>
            <cx:statistics quartileMethod="exclusive"/>
          </cx:layoutPr>
        </cx:series>
        <cx:series layoutId="boxWhisker" uniqueId="{00000003-9B36-4956-99A0-44CCEC64F8D3}">
          <cx:tx>
            <cx:txData>
              <cx:f/>
              <cx:v>&gt;10</cx:v>
            </cx:txData>
          </cx:tx>
          <cx:dataId val="3"/>
          <cx:layoutPr>
            <cx:statistics quartileMethod="exclusive"/>
          </cx:layoutPr>
        </cx:series>
      </cx:plotAreaRegion>
      <cx:axis id="0" hidden="1">
        <cx:catScaling gapWidth="1"/>
        <cx:title>
          <cx:tx>
            <cx:txData>
              <cx:v>sediment depth category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sediment depth category</a:t>
              </a:r>
            </a:p>
          </cx:txPr>
        </cx:title>
        <cx:tickLabels/>
      </cx:axis>
      <cx:axis id="1">
        <cx:valScaling/>
        <cx:title>
          <cx:tx>
            <cx:txData>
              <cx:v>Bulk density (g/cm^2)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Bulk density (g/cm^2)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  <cx:data id="1">
      <cx:numDim type="val">
        <cx:f>_xlchart.v1.7</cx:f>
      </cx:numDim>
    </cx:data>
    <cx:data id="2">
      <cx:numDim type="val">
        <cx:f>_xlchart.v1.8</cx:f>
      </cx:numDim>
    </cx:data>
    <cx:data id="3">
      <cx:numDim type="val">
        <cx:f>_xlchart.v1.9</cx:f>
      </cx:numDim>
    </cx:data>
    <cx:data id="4">
      <cx:numDim type="val">
        <cx:f>_xlchart.v1.10</cx:f>
      </cx:numDim>
    </cx:data>
  </cx:chartData>
  <cx:chart>
    <cx:title pos="t" align="ctr" overlay="0">
      <cx:tx>
        <cx:txData>
          <cx:v>bulk density by transect location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bulk density by transect location</a:t>
          </a:r>
        </a:p>
      </cx:txPr>
    </cx:title>
    <cx:plotArea>
      <cx:plotAreaRegion>
        <cx:series layoutId="boxWhisker" uniqueId="{228F2A2D-986A-429D-961E-8C12F8C7EA85}">
          <cx:tx>
            <cx:txData>
              <cx:f/>
              <cx:v>PC1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2BFC-4202-B926-DE7C7C246117}">
          <cx:tx>
            <cx:txData>
              <cx:f/>
              <cx:v>PC2</cx:v>
            </cx:txData>
          </cx:tx>
          <cx:dataId val="1"/>
          <cx:layoutPr>
            <cx:statistics quartileMethod="exclusive"/>
          </cx:layoutPr>
        </cx:series>
        <cx:series layoutId="boxWhisker" uniqueId="{00000002-2BFC-4202-B926-DE7C7C246117}">
          <cx:tx>
            <cx:txData>
              <cx:f/>
              <cx:v>PC3</cx:v>
            </cx:txData>
          </cx:tx>
          <cx:dataId val="2"/>
          <cx:layoutPr>
            <cx:statistics quartileMethod="exclusive"/>
          </cx:layoutPr>
        </cx:series>
        <cx:series layoutId="boxWhisker" uniqueId="{00000003-2BFC-4202-B926-DE7C7C246117}">
          <cx:tx>
            <cx:txData>
              <cx:f/>
              <cx:v>PC4</cx:v>
            </cx:txData>
          </cx:tx>
          <cx:dataId val="3"/>
          <cx:layoutPr>
            <cx:statistics quartileMethod="exclusive"/>
          </cx:layoutPr>
        </cx:series>
        <cx:series layoutId="boxWhisker" uniqueId="{00000004-2BFC-4202-B926-DE7C7C246117}">
          <cx:tx>
            <cx:txData>
              <cx:f/>
              <cx:v>PC5</cx:v>
            </cx:txData>
          </cx:tx>
          <cx:dataId val="4"/>
          <cx:layoutPr>
            <cx:statistics quartileMethod="exclusive"/>
          </cx:layoutPr>
        </cx:series>
      </cx:plotAreaRegion>
      <cx:axis id="0" hidden="1">
        <cx:catScaling gapWidth="1"/>
        <cx:title>
          <cx:tx>
            <cx:txData>
              <cx:v>Core location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Core location</a:t>
              </a:r>
            </a:p>
          </cx:txPr>
        </cx:title>
        <cx:tickLabels/>
      </cx:axis>
      <cx:axis id="1">
        <cx:valScaling/>
        <cx:title>
          <cx:tx>
            <cx:txData>
              <cx:v>Bulk density (g/cm^2)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Bulk density (g/cm^2)</a:t>
              </a:r>
            </a:p>
          </cx:txPr>
        </cx:title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103312</xdr:colOff>
      <xdr:row>25</xdr:row>
      <xdr:rowOff>82298</xdr:rowOff>
    </xdr:from>
    <xdr:to>
      <xdr:col>12</xdr:col>
      <xdr:colOff>390524</xdr:colOff>
      <xdr:row>42</xdr:row>
      <xdr:rowOff>44198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77CE821-BFD6-A736-4B58-C55C09206D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438150</xdr:colOff>
      <xdr:row>27</xdr:row>
      <xdr:rowOff>80961</xdr:rowOff>
    </xdr:from>
    <xdr:to>
      <xdr:col>5</xdr:col>
      <xdr:colOff>485775</xdr:colOff>
      <xdr:row>42</xdr:row>
      <xdr:rowOff>47624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F3BB461A-490D-DB4A-C427-1770BEF045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7750" y="5053011"/>
              <a:ext cx="4371975" cy="27289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952500</xdr:colOff>
      <xdr:row>27</xdr:row>
      <xdr:rowOff>109537</xdr:rowOff>
    </xdr:from>
    <xdr:to>
      <xdr:col>11</xdr:col>
      <xdr:colOff>28576</xdr:colOff>
      <xdr:row>41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A166DCDB-33AF-6BB8-6DA6-78250A7B015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86450" y="5081587"/>
              <a:ext cx="7673976" cy="25828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214312</xdr:colOff>
      <xdr:row>27</xdr:row>
      <xdr:rowOff>14287</xdr:rowOff>
    </xdr:from>
    <xdr:to>
      <xdr:col>17</xdr:col>
      <xdr:colOff>461962</xdr:colOff>
      <xdr:row>41</xdr:row>
      <xdr:rowOff>90487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27E2925-9501-077E-430A-4F8A0C462A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E8EF1-C01D-4C1D-ACF3-0C5DB78B8EFB}">
  <dimension ref="A1:G26"/>
  <sheetViews>
    <sheetView zoomScaleNormal="100" workbookViewId="0">
      <selection activeCell="G4" sqref="G4"/>
    </sheetView>
  </sheetViews>
  <sheetFormatPr defaultRowHeight="14.5" x14ac:dyDescent="0.35"/>
  <cols>
    <col min="2" max="2" width="7.54296875" customWidth="1"/>
    <col min="3" max="3" width="16.453125" style="1" customWidth="1"/>
    <col min="4" max="4" width="51.453125" customWidth="1"/>
    <col min="6" max="6" width="29.453125" bestFit="1" customWidth="1"/>
    <col min="7" max="7" width="10.81640625" customWidth="1"/>
    <col min="8" max="8" width="14.7265625" customWidth="1"/>
  </cols>
  <sheetData>
    <row r="1" spans="1:7" x14ac:dyDescent="0.35">
      <c r="A1" t="s">
        <v>0</v>
      </c>
      <c r="B1" t="s">
        <v>5</v>
      </c>
      <c r="C1" s="1" t="s">
        <v>9</v>
      </c>
      <c r="D1" t="s">
        <v>6</v>
      </c>
      <c r="F1" t="s">
        <v>10</v>
      </c>
      <c r="G1" t="s">
        <v>11</v>
      </c>
    </row>
    <row r="2" spans="1:7" x14ac:dyDescent="0.35">
      <c r="A2" s="2">
        <v>1</v>
      </c>
      <c r="B2" s="2">
        <v>1</v>
      </c>
      <c r="C2" s="3" t="s">
        <v>7</v>
      </c>
      <c r="F2" t="s">
        <v>30</v>
      </c>
      <c r="G2" t="s">
        <v>32</v>
      </c>
    </row>
    <row r="3" spans="1:7" x14ac:dyDescent="0.35">
      <c r="A3" s="2">
        <v>2</v>
      </c>
      <c r="B3" s="2">
        <v>1</v>
      </c>
      <c r="C3" s="3" t="s">
        <v>8</v>
      </c>
      <c r="F3" t="s">
        <v>31</v>
      </c>
      <c r="G3" t="s">
        <v>33</v>
      </c>
    </row>
    <row r="4" spans="1:7" x14ac:dyDescent="0.35">
      <c r="A4" s="2">
        <v>3</v>
      </c>
      <c r="B4" s="2">
        <v>1</v>
      </c>
      <c r="C4" s="3" t="s">
        <v>40</v>
      </c>
    </row>
    <row r="5" spans="1:7" x14ac:dyDescent="0.35">
      <c r="A5" s="2">
        <v>4</v>
      </c>
      <c r="B5" s="2">
        <v>1</v>
      </c>
      <c r="C5" s="3" t="s">
        <v>41</v>
      </c>
    </row>
    <row r="6" spans="1:7" x14ac:dyDescent="0.35">
      <c r="A6" s="2">
        <v>5</v>
      </c>
      <c r="B6" s="2">
        <v>2</v>
      </c>
      <c r="C6" s="3" t="s">
        <v>7</v>
      </c>
    </row>
    <row r="7" spans="1:7" x14ac:dyDescent="0.35">
      <c r="A7" s="2">
        <v>6</v>
      </c>
      <c r="B7" s="2"/>
      <c r="C7" s="3"/>
    </row>
    <row r="8" spans="1:7" x14ac:dyDescent="0.35">
      <c r="A8" s="2">
        <v>7</v>
      </c>
      <c r="B8" s="2"/>
      <c r="C8" s="3"/>
    </row>
    <row r="9" spans="1:7" x14ac:dyDescent="0.35">
      <c r="A9" s="2">
        <v>8</v>
      </c>
      <c r="B9" s="2"/>
      <c r="C9" s="3"/>
    </row>
    <row r="10" spans="1:7" x14ac:dyDescent="0.35">
      <c r="A10" s="2">
        <v>9</v>
      </c>
      <c r="B10" s="2"/>
      <c r="C10" s="3"/>
    </row>
    <row r="11" spans="1:7" x14ac:dyDescent="0.35">
      <c r="A11" s="2">
        <v>10</v>
      </c>
      <c r="B11" s="2"/>
      <c r="C11" s="3"/>
    </row>
    <row r="12" spans="1:7" x14ac:dyDescent="0.35">
      <c r="A12" s="2">
        <v>11</v>
      </c>
      <c r="B12" s="2"/>
      <c r="C12" s="3"/>
    </row>
    <row r="13" spans="1:7" x14ac:dyDescent="0.35">
      <c r="A13" s="2">
        <v>12</v>
      </c>
      <c r="B13" s="2"/>
      <c r="C13" s="3"/>
    </row>
    <row r="14" spans="1:7" x14ac:dyDescent="0.35">
      <c r="A14" s="2">
        <v>13</v>
      </c>
      <c r="B14" s="2"/>
      <c r="C14" s="3"/>
    </row>
    <row r="15" spans="1:7" x14ac:dyDescent="0.35">
      <c r="A15" s="2">
        <v>14</v>
      </c>
      <c r="B15" s="2"/>
      <c r="C15" s="3"/>
    </row>
    <row r="16" spans="1:7" x14ac:dyDescent="0.35">
      <c r="A16" s="2">
        <v>15</v>
      </c>
      <c r="B16" s="2"/>
      <c r="C16" s="3"/>
    </row>
    <row r="17" spans="1:3" x14ac:dyDescent="0.35">
      <c r="A17" s="2">
        <v>16</v>
      </c>
      <c r="B17" s="2"/>
      <c r="C17" s="3"/>
    </row>
    <row r="18" spans="1:3" x14ac:dyDescent="0.35">
      <c r="A18" s="2">
        <v>17</v>
      </c>
      <c r="B18" s="2"/>
      <c r="C18" s="3"/>
    </row>
    <row r="19" spans="1:3" x14ac:dyDescent="0.35">
      <c r="A19" s="2">
        <v>18</v>
      </c>
      <c r="B19" s="2"/>
      <c r="C19" s="3"/>
    </row>
    <row r="20" spans="1:3" x14ac:dyDescent="0.35">
      <c r="A20" s="2">
        <v>19</v>
      </c>
      <c r="B20" s="2"/>
      <c r="C20" s="3"/>
    </row>
    <row r="21" spans="1:3" x14ac:dyDescent="0.35">
      <c r="A21" s="2">
        <v>20</v>
      </c>
      <c r="B21" s="2"/>
      <c r="C21" s="3"/>
    </row>
    <row r="22" spans="1:3" x14ac:dyDescent="0.35">
      <c r="A22" s="2">
        <v>21</v>
      </c>
      <c r="B22" s="2"/>
      <c r="C22" s="3"/>
    </row>
    <row r="23" spans="1:3" x14ac:dyDescent="0.35">
      <c r="A23" s="2">
        <v>22</v>
      </c>
      <c r="B23" s="2"/>
      <c r="C23" s="3"/>
    </row>
    <row r="24" spans="1:3" x14ac:dyDescent="0.35">
      <c r="A24" s="2">
        <v>23</v>
      </c>
      <c r="B24" s="2"/>
      <c r="C24" s="3"/>
    </row>
    <row r="25" spans="1:3" x14ac:dyDescent="0.35">
      <c r="A25" s="2">
        <v>24</v>
      </c>
      <c r="B25" s="2"/>
      <c r="C25" s="3"/>
    </row>
    <row r="26" spans="1:3" x14ac:dyDescent="0.35">
      <c r="A26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27799-3DFA-4F29-BB1D-C344468EA663}">
  <dimension ref="A1:L17"/>
  <sheetViews>
    <sheetView zoomScaleNormal="100" workbookViewId="0">
      <selection activeCell="F18" sqref="F18"/>
    </sheetView>
  </sheetViews>
  <sheetFormatPr defaultRowHeight="14.5" x14ac:dyDescent="0.35"/>
  <cols>
    <col min="1" max="1" width="9.1796875" style="3"/>
    <col min="2" max="2" width="12.54296875" customWidth="1"/>
    <col min="3" max="3" width="13.81640625" customWidth="1"/>
    <col min="4" max="4" width="15.81640625" customWidth="1"/>
    <col min="5" max="5" width="16.1796875" customWidth="1"/>
    <col min="7" max="7" width="14" customWidth="1"/>
    <col min="8" max="8" width="27.7265625" customWidth="1"/>
    <col min="9" max="9" width="20.7265625" customWidth="1"/>
    <col min="10" max="10" width="16.453125" customWidth="1"/>
    <col min="11" max="11" width="13.54296875" customWidth="1"/>
    <col min="12" max="12" width="13" customWidth="1"/>
  </cols>
  <sheetData>
    <row r="1" spans="1:12" x14ac:dyDescent="0.35">
      <c r="A1" s="3" t="s">
        <v>22</v>
      </c>
      <c r="B1" t="s">
        <v>20</v>
      </c>
      <c r="C1" t="s">
        <v>21</v>
      </c>
      <c r="D1" t="s">
        <v>24</v>
      </c>
      <c r="E1" t="s">
        <v>25</v>
      </c>
      <c r="F1" t="s">
        <v>26</v>
      </c>
      <c r="H1" t="s">
        <v>27</v>
      </c>
      <c r="I1" t="s">
        <v>28</v>
      </c>
      <c r="J1" t="s">
        <v>29</v>
      </c>
      <c r="K1" t="s">
        <v>36</v>
      </c>
      <c r="L1" t="s">
        <v>37</v>
      </c>
    </row>
    <row r="2" spans="1:12" x14ac:dyDescent="0.35">
      <c r="A2" s="3">
        <v>0.5</v>
      </c>
      <c r="B2" t="s">
        <v>23</v>
      </c>
      <c r="C2" t="s">
        <v>23</v>
      </c>
      <c r="D2">
        <v>5.5</v>
      </c>
      <c r="E2">
        <v>58</v>
      </c>
      <c r="F2">
        <v>76</v>
      </c>
      <c r="H2">
        <f>CONVERT(D2,"ft","cm")</f>
        <v>167.64</v>
      </c>
      <c r="I2">
        <f>115+E2</f>
        <v>173</v>
      </c>
      <c r="J2">
        <f>115+F2</f>
        <v>191</v>
      </c>
    </row>
    <row r="3" spans="1:12" x14ac:dyDescent="0.35">
      <c r="A3" s="3" t="s">
        <v>42</v>
      </c>
      <c r="D3">
        <v>6.9</v>
      </c>
      <c r="E3">
        <v>105</v>
      </c>
      <c r="F3">
        <v>128</v>
      </c>
      <c r="H3">
        <f t="shared" ref="H3:H17" si="0">CONVERT(D3,"ft","cm")</f>
        <v>210.31200000000001</v>
      </c>
      <c r="I3">
        <f t="shared" ref="I3:I17" si="1">115+E3</f>
        <v>220</v>
      </c>
      <c r="J3">
        <f t="shared" ref="J3:J17" si="2">115+F3</f>
        <v>243</v>
      </c>
    </row>
    <row r="4" spans="1:12" x14ac:dyDescent="0.35">
      <c r="A4" s="3" t="s">
        <v>43</v>
      </c>
      <c r="D4">
        <v>6.3</v>
      </c>
      <c r="E4">
        <v>94</v>
      </c>
      <c r="F4">
        <v>114</v>
      </c>
      <c r="H4">
        <f t="shared" si="0"/>
        <v>192.024</v>
      </c>
      <c r="I4">
        <f t="shared" si="1"/>
        <v>209</v>
      </c>
      <c r="J4">
        <f t="shared" si="2"/>
        <v>229</v>
      </c>
    </row>
    <row r="5" spans="1:12" x14ac:dyDescent="0.35">
      <c r="A5" s="3">
        <v>1.5</v>
      </c>
      <c r="B5" t="s">
        <v>23</v>
      </c>
      <c r="C5" t="s">
        <v>23</v>
      </c>
      <c r="D5">
        <v>7.8</v>
      </c>
      <c r="E5">
        <v>62</v>
      </c>
      <c r="F5">
        <v>87</v>
      </c>
      <c r="H5">
        <f t="shared" si="0"/>
        <v>237.744</v>
      </c>
      <c r="I5">
        <f t="shared" si="1"/>
        <v>177</v>
      </c>
      <c r="J5">
        <f t="shared" si="2"/>
        <v>202</v>
      </c>
    </row>
    <row r="6" spans="1:12" x14ac:dyDescent="0.35">
      <c r="A6" s="3" t="s">
        <v>44</v>
      </c>
      <c r="D6">
        <v>4.4000000000000004</v>
      </c>
      <c r="E6">
        <v>34</v>
      </c>
      <c r="F6">
        <v>45</v>
      </c>
      <c r="H6">
        <f t="shared" si="0"/>
        <v>134.11200000000002</v>
      </c>
      <c r="I6">
        <f t="shared" si="1"/>
        <v>149</v>
      </c>
      <c r="J6">
        <f t="shared" si="2"/>
        <v>160</v>
      </c>
    </row>
    <row r="7" spans="1:12" x14ac:dyDescent="0.35">
      <c r="A7" s="3" t="s">
        <v>45</v>
      </c>
      <c r="D7">
        <v>4.2</v>
      </c>
      <c r="E7">
        <v>25</v>
      </c>
      <c r="F7">
        <v>36</v>
      </c>
      <c r="H7">
        <f t="shared" si="0"/>
        <v>128.01599999999999</v>
      </c>
      <c r="I7">
        <f t="shared" si="1"/>
        <v>140</v>
      </c>
      <c r="J7">
        <f t="shared" si="2"/>
        <v>151</v>
      </c>
    </row>
    <row r="8" spans="1:12" x14ac:dyDescent="0.35">
      <c r="A8" s="3">
        <v>2.5</v>
      </c>
      <c r="B8" t="s">
        <v>23</v>
      </c>
      <c r="C8" t="s">
        <v>23</v>
      </c>
      <c r="D8">
        <v>3.7</v>
      </c>
      <c r="E8">
        <v>38</v>
      </c>
      <c r="F8">
        <v>53</v>
      </c>
      <c r="H8">
        <f t="shared" si="0"/>
        <v>112.77600000000001</v>
      </c>
      <c r="I8">
        <f t="shared" si="1"/>
        <v>153</v>
      </c>
      <c r="J8">
        <f t="shared" si="2"/>
        <v>168</v>
      </c>
    </row>
    <row r="9" spans="1:12" x14ac:dyDescent="0.35">
      <c r="A9" s="3" t="s">
        <v>46</v>
      </c>
      <c r="D9">
        <v>4.3</v>
      </c>
      <c r="E9">
        <v>30</v>
      </c>
      <c r="F9">
        <v>40</v>
      </c>
      <c r="H9">
        <f t="shared" si="0"/>
        <v>131.06399999999999</v>
      </c>
      <c r="I9">
        <f t="shared" si="1"/>
        <v>145</v>
      </c>
      <c r="J9">
        <f t="shared" si="2"/>
        <v>155</v>
      </c>
    </row>
    <row r="10" spans="1:12" x14ac:dyDescent="0.35">
      <c r="A10" s="3" t="s">
        <v>47</v>
      </c>
      <c r="D10">
        <v>4.0999999999999996</v>
      </c>
      <c r="E10">
        <v>19</v>
      </c>
      <c r="F10">
        <v>34</v>
      </c>
      <c r="H10">
        <f t="shared" si="0"/>
        <v>124.96799999999999</v>
      </c>
      <c r="I10">
        <f t="shared" si="1"/>
        <v>134</v>
      </c>
      <c r="J10">
        <f t="shared" si="2"/>
        <v>149</v>
      </c>
    </row>
    <row r="11" spans="1:12" x14ac:dyDescent="0.35">
      <c r="A11" s="3" t="s">
        <v>52</v>
      </c>
      <c r="B11" t="s">
        <v>23</v>
      </c>
      <c r="C11" t="s">
        <v>23</v>
      </c>
      <c r="D11">
        <v>3.9</v>
      </c>
      <c r="E11">
        <v>10</v>
      </c>
      <c r="F11">
        <v>25</v>
      </c>
      <c r="H11">
        <f t="shared" si="0"/>
        <v>118.872</v>
      </c>
      <c r="I11">
        <f t="shared" si="1"/>
        <v>125</v>
      </c>
      <c r="J11">
        <f t="shared" si="2"/>
        <v>140</v>
      </c>
    </row>
    <row r="12" spans="1:12" x14ac:dyDescent="0.35">
      <c r="A12" s="3" t="s">
        <v>48</v>
      </c>
      <c r="D12">
        <v>4</v>
      </c>
      <c r="E12">
        <v>20</v>
      </c>
      <c r="F12">
        <v>34</v>
      </c>
      <c r="H12">
        <f t="shared" si="0"/>
        <v>121.92</v>
      </c>
      <c r="I12">
        <f t="shared" si="1"/>
        <v>135</v>
      </c>
      <c r="J12">
        <f t="shared" si="2"/>
        <v>149</v>
      </c>
    </row>
    <row r="13" spans="1:12" x14ac:dyDescent="0.35">
      <c r="A13" s="3" t="s">
        <v>49</v>
      </c>
      <c r="D13">
        <v>4</v>
      </c>
      <c r="E13">
        <v>28</v>
      </c>
      <c r="F13">
        <v>44</v>
      </c>
      <c r="H13">
        <f t="shared" si="0"/>
        <v>121.92</v>
      </c>
      <c r="I13">
        <f t="shared" si="1"/>
        <v>143</v>
      </c>
      <c r="J13">
        <f t="shared" si="2"/>
        <v>159</v>
      </c>
    </row>
    <row r="14" spans="1:12" x14ac:dyDescent="0.35">
      <c r="A14" s="3">
        <v>4.5</v>
      </c>
      <c r="B14" t="s">
        <v>23</v>
      </c>
      <c r="C14" t="s">
        <v>23</v>
      </c>
      <c r="D14">
        <v>4</v>
      </c>
      <c r="E14">
        <v>15</v>
      </c>
      <c r="F14">
        <v>31</v>
      </c>
      <c r="H14">
        <f t="shared" si="0"/>
        <v>121.92</v>
      </c>
      <c r="I14">
        <f t="shared" si="1"/>
        <v>130</v>
      </c>
      <c r="J14">
        <f t="shared" si="2"/>
        <v>146</v>
      </c>
    </row>
    <row r="15" spans="1:12" x14ac:dyDescent="0.35">
      <c r="A15" s="3" t="s">
        <v>50</v>
      </c>
      <c r="D15">
        <v>3.6</v>
      </c>
      <c r="E15">
        <v>4</v>
      </c>
      <c r="F15">
        <v>22</v>
      </c>
      <c r="H15">
        <f t="shared" si="0"/>
        <v>109.72800000000001</v>
      </c>
      <c r="I15">
        <f t="shared" si="1"/>
        <v>119</v>
      </c>
      <c r="J15">
        <f t="shared" si="2"/>
        <v>137</v>
      </c>
    </row>
    <row r="16" spans="1:12" x14ac:dyDescent="0.35">
      <c r="A16" s="3" t="s">
        <v>51</v>
      </c>
      <c r="D16">
        <v>3.6</v>
      </c>
      <c r="E16">
        <v>4</v>
      </c>
      <c r="F16">
        <v>27</v>
      </c>
      <c r="H16">
        <f t="shared" si="0"/>
        <v>109.72800000000001</v>
      </c>
      <c r="I16">
        <f t="shared" si="1"/>
        <v>119</v>
      </c>
      <c r="J16">
        <f t="shared" si="2"/>
        <v>142</v>
      </c>
    </row>
    <row r="17" spans="1:10" x14ac:dyDescent="0.35">
      <c r="A17" s="3">
        <v>5.5</v>
      </c>
      <c r="B17" t="s">
        <v>23</v>
      </c>
      <c r="C17" t="s">
        <v>23</v>
      </c>
      <c r="D17">
        <v>3.2</v>
      </c>
      <c r="E17">
        <v>-4</v>
      </c>
      <c r="F17">
        <v>4</v>
      </c>
      <c r="H17">
        <f t="shared" si="0"/>
        <v>97.536000000000001</v>
      </c>
      <c r="I17">
        <f t="shared" si="1"/>
        <v>111</v>
      </c>
      <c r="J17">
        <f t="shared" si="2"/>
        <v>119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4AB8-EBC1-4B7B-BA5E-918E402CDC60}">
  <dimension ref="A1:M21"/>
  <sheetViews>
    <sheetView tabSelected="1" zoomScale="76" zoomScaleNormal="85" workbookViewId="0">
      <selection activeCell="H22" sqref="H22"/>
    </sheetView>
  </sheetViews>
  <sheetFormatPr defaultRowHeight="14.5" x14ac:dyDescent="0.35"/>
  <cols>
    <col min="1" max="1" width="10" customWidth="1"/>
    <col min="2" max="2" width="14.7265625" customWidth="1"/>
    <col min="3" max="3" width="12.54296875" customWidth="1"/>
    <col min="4" max="4" width="13.6328125" customWidth="1"/>
    <col min="5" max="5" width="19.453125" style="1" customWidth="1"/>
    <col min="6" max="6" width="15.1796875" customWidth="1"/>
    <col min="7" max="7" width="18.6328125" customWidth="1"/>
    <col min="8" max="8" width="19.36328125" customWidth="1"/>
    <col min="9" max="9" width="17.1796875" customWidth="1"/>
    <col min="10" max="10" width="24.81640625" customWidth="1"/>
    <col min="11" max="11" width="18.453125" style="1" customWidth="1"/>
    <col min="12" max="12" width="8.7265625" style="1"/>
  </cols>
  <sheetData>
    <row r="1" spans="1:13" x14ac:dyDescent="0.35">
      <c r="A1" t="s">
        <v>59</v>
      </c>
      <c r="B1" t="s">
        <v>70</v>
      </c>
      <c r="C1" t="s">
        <v>1</v>
      </c>
      <c r="D1" t="s">
        <v>62</v>
      </c>
      <c r="E1" s="1" t="s">
        <v>4</v>
      </c>
      <c r="F1" t="s">
        <v>2</v>
      </c>
      <c r="G1" t="s">
        <v>71</v>
      </c>
      <c r="H1" t="s">
        <v>72</v>
      </c>
      <c r="I1" t="s">
        <v>3</v>
      </c>
      <c r="J1" t="s">
        <v>34</v>
      </c>
      <c r="K1" s="1" t="s">
        <v>19</v>
      </c>
      <c r="L1" s="1" t="s">
        <v>5</v>
      </c>
      <c r="M1" t="s">
        <v>66</v>
      </c>
    </row>
    <row r="2" spans="1:13" x14ac:dyDescent="0.35">
      <c r="A2">
        <v>1</v>
      </c>
      <c r="B2">
        <v>1.4922</v>
      </c>
      <c r="C2">
        <v>16.618400000000001</v>
      </c>
      <c r="F2">
        <v>3.9167000000000001</v>
      </c>
      <c r="G2">
        <v>1.2083999999999999</v>
      </c>
      <c r="H2">
        <v>3.3780999999999999</v>
      </c>
      <c r="K2" s="1" t="s">
        <v>53</v>
      </c>
      <c r="L2" s="1" t="s">
        <v>57</v>
      </c>
    </row>
    <row r="3" spans="1:13" x14ac:dyDescent="0.35">
      <c r="A3">
        <v>2</v>
      </c>
      <c r="B3">
        <v>1.4862</v>
      </c>
      <c r="C3">
        <v>14.976900000000001</v>
      </c>
      <c r="F3">
        <v>5.4280999999999997</v>
      </c>
      <c r="G3">
        <v>1.2174</v>
      </c>
      <c r="H3">
        <v>4.8952</v>
      </c>
      <c r="K3" s="1" t="s">
        <v>40</v>
      </c>
      <c r="L3" s="1" t="s">
        <v>57</v>
      </c>
    </row>
    <row r="4" spans="1:13" x14ac:dyDescent="0.35">
      <c r="A4">
        <v>3</v>
      </c>
      <c r="B4">
        <v>1.5016</v>
      </c>
      <c r="C4">
        <v>32.220799999999997</v>
      </c>
      <c r="F4">
        <v>13.978899999999999</v>
      </c>
      <c r="G4">
        <v>1.2084999999999999</v>
      </c>
      <c r="H4">
        <v>13.4156</v>
      </c>
      <c r="K4" s="1" t="s">
        <v>54</v>
      </c>
      <c r="L4" s="1" t="s">
        <v>57</v>
      </c>
    </row>
    <row r="5" spans="1:13" x14ac:dyDescent="0.35">
      <c r="A5">
        <v>4</v>
      </c>
      <c r="B5">
        <v>1.4946999999999999</v>
      </c>
      <c r="C5">
        <v>35.449199999999998</v>
      </c>
      <c r="F5">
        <v>23.098299999999998</v>
      </c>
      <c r="G5">
        <v>1.2109000000000001</v>
      </c>
      <c r="H5">
        <v>22.280799999999999</v>
      </c>
      <c r="K5" s="1" t="s">
        <v>55</v>
      </c>
      <c r="L5" s="1" t="s">
        <v>57</v>
      </c>
    </row>
    <row r="6" spans="1:13" x14ac:dyDescent="0.35">
      <c r="A6">
        <v>5</v>
      </c>
      <c r="B6">
        <v>1.5066999999999999</v>
      </c>
      <c r="C6">
        <v>15.5242</v>
      </c>
      <c r="F6">
        <v>3.4828999999999999</v>
      </c>
      <c r="G6">
        <v>1.2162999999999999</v>
      </c>
      <c r="H6">
        <v>2.9950000000000001</v>
      </c>
      <c r="K6" s="1" t="s">
        <v>53</v>
      </c>
      <c r="L6" s="1" t="s">
        <v>58</v>
      </c>
    </row>
    <row r="7" spans="1:13" x14ac:dyDescent="0.35">
      <c r="A7">
        <v>6</v>
      </c>
      <c r="B7">
        <v>1.4728000000000001</v>
      </c>
      <c r="C7">
        <v>15.543900000000001</v>
      </c>
      <c r="F7">
        <v>6.3905000000000003</v>
      </c>
      <c r="G7">
        <v>1.2116</v>
      </c>
      <c r="H7">
        <v>5.9080000000000004</v>
      </c>
      <c r="K7" s="1" t="s">
        <v>40</v>
      </c>
      <c r="L7" s="1" t="s">
        <v>58</v>
      </c>
    </row>
    <row r="8" spans="1:13" x14ac:dyDescent="0.35">
      <c r="A8">
        <v>7</v>
      </c>
      <c r="B8">
        <v>1.4777</v>
      </c>
      <c r="C8">
        <v>35.989100000000001</v>
      </c>
      <c r="F8">
        <v>20.072700000000001</v>
      </c>
      <c r="G8">
        <v>1.2084999999999999</v>
      </c>
      <c r="H8">
        <v>19.4176</v>
      </c>
      <c r="K8" s="1" t="s">
        <v>54</v>
      </c>
      <c r="L8" s="1" t="s">
        <v>58</v>
      </c>
    </row>
    <row r="9" spans="1:13" x14ac:dyDescent="0.35">
      <c r="A9">
        <v>8</v>
      </c>
      <c r="B9">
        <v>1.492</v>
      </c>
      <c r="C9">
        <v>28.673999999999999</v>
      </c>
      <c r="F9">
        <v>15.814</v>
      </c>
      <c r="G9">
        <v>1.2101999999999999</v>
      </c>
      <c r="H9">
        <v>15.3385</v>
      </c>
      <c r="K9" s="1" t="s">
        <v>56</v>
      </c>
      <c r="L9" s="1" t="s">
        <v>58</v>
      </c>
    </row>
    <row r="10" spans="1:13" x14ac:dyDescent="0.35">
      <c r="A10">
        <v>9</v>
      </c>
      <c r="B10">
        <v>1.4892000000000001</v>
      </c>
      <c r="C10">
        <v>14.461600000000001</v>
      </c>
      <c r="D10">
        <v>10.733499999999999</v>
      </c>
      <c r="F10">
        <v>3.9729000000000001</v>
      </c>
      <c r="G10">
        <v>1.2212000000000001</v>
      </c>
      <c r="H10">
        <v>3.5464000000000002</v>
      </c>
      <c r="K10" s="1" t="s">
        <v>53</v>
      </c>
      <c r="L10" s="1" t="s">
        <v>61</v>
      </c>
    </row>
    <row r="11" spans="1:13" x14ac:dyDescent="0.35">
      <c r="A11">
        <v>10</v>
      </c>
      <c r="B11">
        <v>1.4764999999999999</v>
      </c>
      <c r="C11">
        <v>15.1645</v>
      </c>
      <c r="D11">
        <v>12.434100000000001</v>
      </c>
      <c r="F11">
        <v>6.5602999999999998</v>
      </c>
      <c r="G11">
        <v>1.2185999999999999</v>
      </c>
      <c r="H11">
        <v>6.1924000000000001</v>
      </c>
      <c r="K11" s="1" t="s">
        <v>40</v>
      </c>
      <c r="L11" s="1" t="s">
        <v>61</v>
      </c>
    </row>
    <row r="12" spans="1:13" x14ac:dyDescent="0.35">
      <c r="A12">
        <v>11</v>
      </c>
      <c r="B12">
        <v>1.4965999999999999</v>
      </c>
      <c r="C12">
        <v>35.786099999999998</v>
      </c>
      <c r="D12">
        <v>33.301699999999997</v>
      </c>
      <c r="F12">
        <v>20.516100000000002</v>
      </c>
      <c r="G12">
        <v>1.2144999999999999</v>
      </c>
      <c r="H12">
        <v>19.867799999999999</v>
      </c>
      <c r="K12" s="1" t="s">
        <v>54</v>
      </c>
      <c r="L12" s="1" t="s">
        <v>61</v>
      </c>
      <c r="M12" t="s">
        <v>67</v>
      </c>
    </row>
    <row r="13" spans="1:13" x14ac:dyDescent="0.35">
      <c r="A13">
        <v>12</v>
      </c>
      <c r="B13">
        <v>1.4894000000000001</v>
      </c>
      <c r="C13">
        <v>23.536999999999999</v>
      </c>
      <c r="D13">
        <v>21.936800000000002</v>
      </c>
      <c r="F13">
        <v>15.208500000000001</v>
      </c>
      <c r="G13">
        <v>1.2181999999999999</v>
      </c>
      <c r="H13">
        <v>14.6701</v>
      </c>
      <c r="K13" s="1" t="s">
        <v>60</v>
      </c>
      <c r="L13" s="1" t="s">
        <v>61</v>
      </c>
      <c r="M13" t="s">
        <v>67</v>
      </c>
    </row>
    <row r="14" spans="1:13" x14ac:dyDescent="0.35">
      <c r="A14">
        <v>13</v>
      </c>
      <c r="B14">
        <v>1.4996</v>
      </c>
      <c r="C14">
        <v>12.6325</v>
      </c>
      <c r="D14">
        <v>10.0022</v>
      </c>
      <c r="F14">
        <v>3.7088999999999999</v>
      </c>
      <c r="G14">
        <v>1.2025999999999999</v>
      </c>
      <c r="H14">
        <v>3.2751999999999999</v>
      </c>
      <c r="K14" s="1" t="s">
        <v>53</v>
      </c>
      <c r="L14" s="1" t="s">
        <v>63</v>
      </c>
    </row>
    <row r="15" spans="1:13" x14ac:dyDescent="0.35">
      <c r="A15">
        <v>14</v>
      </c>
      <c r="B15">
        <v>1.5053000000000001</v>
      </c>
      <c r="C15">
        <v>15.8675</v>
      </c>
      <c r="D15">
        <v>12.680199999999999</v>
      </c>
      <c r="F15">
        <v>5.5785</v>
      </c>
      <c r="G15">
        <v>1.2145999999999999</v>
      </c>
      <c r="H15">
        <v>5.1498999999999997</v>
      </c>
      <c r="K15" s="1" t="s">
        <v>40</v>
      </c>
      <c r="L15" s="1" t="s">
        <v>63</v>
      </c>
    </row>
    <row r="16" spans="1:13" x14ac:dyDescent="0.35">
      <c r="A16">
        <v>15</v>
      </c>
      <c r="B16">
        <v>1.4986999999999999</v>
      </c>
      <c r="C16">
        <v>35.692399999999999</v>
      </c>
      <c r="D16">
        <v>33.5501</v>
      </c>
      <c r="F16">
        <v>18.780200000000001</v>
      </c>
      <c r="G16">
        <v>1.2159</v>
      </c>
      <c r="H16">
        <v>18.3248</v>
      </c>
      <c r="K16" s="1" t="s">
        <v>54</v>
      </c>
      <c r="L16" s="1" t="s">
        <v>63</v>
      </c>
    </row>
    <row r="17" spans="1:13" x14ac:dyDescent="0.35">
      <c r="A17">
        <v>16</v>
      </c>
      <c r="B17">
        <v>1.5</v>
      </c>
      <c r="C17">
        <v>22.220099999999999</v>
      </c>
      <c r="D17">
        <v>20.971299999999999</v>
      </c>
      <c r="F17">
        <v>14.391400000000001</v>
      </c>
      <c r="G17">
        <v>1.2048000000000001</v>
      </c>
      <c r="H17">
        <v>13.8973</v>
      </c>
      <c r="K17" s="1" t="s">
        <v>60</v>
      </c>
      <c r="L17" s="1" t="s">
        <v>63</v>
      </c>
    </row>
    <row r="18" spans="1:13" x14ac:dyDescent="0.35">
      <c r="A18">
        <v>17</v>
      </c>
      <c r="B18">
        <v>1.4843999999999999</v>
      </c>
      <c r="C18">
        <v>13.667899999999999</v>
      </c>
      <c r="D18">
        <v>11.177</v>
      </c>
      <c r="F18">
        <v>3.1360999999999999</v>
      </c>
      <c r="G18">
        <v>1.2962</v>
      </c>
      <c r="H18">
        <v>2.8025000000000002</v>
      </c>
      <c r="K18" s="1" t="s">
        <v>53</v>
      </c>
      <c r="L18" s="1" t="s">
        <v>64</v>
      </c>
      <c r="M18" t="s">
        <v>68</v>
      </c>
    </row>
    <row r="19" spans="1:13" x14ac:dyDescent="0.35">
      <c r="A19">
        <v>18</v>
      </c>
      <c r="B19">
        <v>1.4904999999999999</v>
      </c>
      <c r="C19">
        <v>13.291600000000001</v>
      </c>
      <c r="D19">
        <v>10.107100000000001</v>
      </c>
      <c r="F19">
        <v>3.3809</v>
      </c>
      <c r="G19">
        <v>1.2867</v>
      </c>
      <c r="H19">
        <v>2.9685000000000001</v>
      </c>
      <c r="K19" s="1" t="s">
        <v>40</v>
      </c>
      <c r="L19" s="1" t="s">
        <v>64</v>
      </c>
    </row>
    <row r="20" spans="1:13" x14ac:dyDescent="0.35">
      <c r="A20">
        <v>19</v>
      </c>
      <c r="B20">
        <v>1.4978</v>
      </c>
      <c r="C20">
        <v>34.714599999999997</v>
      </c>
      <c r="D20">
        <v>32.568300000000001</v>
      </c>
      <c r="F20">
        <v>17.038900000000002</v>
      </c>
      <c r="G20">
        <v>1.2870999999999999</v>
      </c>
      <c r="H20">
        <v>16.589400000000001</v>
      </c>
      <c r="K20" s="1" t="s">
        <v>54</v>
      </c>
      <c r="L20" s="1" t="s">
        <v>64</v>
      </c>
    </row>
    <row r="21" spans="1:13" x14ac:dyDescent="0.35">
      <c r="A21">
        <v>20</v>
      </c>
      <c r="B21">
        <v>1.4904999999999999</v>
      </c>
      <c r="C21">
        <v>14.3767</v>
      </c>
      <c r="D21">
        <v>12.9145</v>
      </c>
      <c r="F21">
        <v>9.1403999999999996</v>
      </c>
      <c r="G21">
        <v>1.2983</v>
      </c>
      <c r="H21">
        <v>8.8040000000000003</v>
      </c>
      <c r="K21" s="1" t="s">
        <v>65</v>
      </c>
      <c r="L21" s="1" t="s">
        <v>64</v>
      </c>
      <c r="M21" t="s">
        <v>69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CF227-4A52-4B13-9DD5-1D636055D0F4}">
  <dimension ref="A1:R25"/>
  <sheetViews>
    <sheetView zoomScale="85" zoomScaleNormal="85" workbookViewId="0">
      <selection activeCell="S12" sqref="S12"/>
    </sheetView>
  </sheetViews>
  <sheetFormatPr defaultRowHeight="14.5" x14ac:dyDescent="0.35"/>
  <cols>
    <col min="2" max="2" width="14.7265625" customWidth="1"/>
    <col min="3" max="3" width="12.54296875" customWidth="1"/>
    <col min="4" max="4" width="19.453125" customWidth="1"/>
    <col min="5" max="5" width="15.1796875" customWidth="1"/>
    <col min="6" max="6" width="17.1796875" customWidth="1"/>
    <col min="7" max="7" width="24.81640625" customWidth="1"/>
    <col min="8" max="8" width="23.453125" customWidth="1"/>
    <col min="9" max="9" width="17.81640625" customWidth="1"/>
    <col min="10" max="10" width="21.26953125" customWidth="1"/>
    <col min="11" max="11" width="18.54296875" customWidth="1"/>
    <col min="12" max="12" width="19.81640625" customWidth="1"/>
    <col min="13" max="13" width="22.81640625" customWidth="1"/>
    <col min="14" max="14" width="28.54296875" customWidth="1"/>
    <col min="15" max="15" width="9.54296875" customWidth="1"/>
    <col min="16" max="16" width="15.453125" customWidth="1"/>
    <col min="17" max="17" width="23" style="1" customWidth="1"/>
    <col min="18" max="18" width="7.54296875" customWidth="1"/>
  </cols>
  <sheetData>
    <row r="1" spans="1:18" x14ac:dyDescent="0.35">
      <c r="A1" t="s">
        <v>14</v>
      </c>
      <c r="B1" t="s">
        <v>13</v>
      </c>
      <c r="C1" t="s">
        <v>1</v>
      </c>
      <c r="D1" t="s">
        <v>4</v>
      </c>
      <c r="E1" t="s">
        <v>2</v>
      </c>
      <c r="F1" t="s">
        <v>3</v>
      </c>
      <c r="G1" t="s">
        <v>34</v>
      </c>
      <c r="I1" t="s">
        <v>12</v>
      </c>
      <c r="J1" t="s">
        <v>15</v>
      </c>
      <c r="K1" t="s">
        <v>16</v>
      </c>
      <c r="L1" t="s">
        <v>17</v>
      </c>
      <c r="M1" t="s">
        <v>35</v>
      </c>
      <c r="N1" t="s">
        <v>18</v>
      </c>
      <c r="O1" t="s">
        <v>38</v>
      </c>
      <c r="P1" t="s">
        <v>39</v>
      </c>
      <c r="Q1" s="1" t="s">
        <v>19</v>
      </c>
      <c r="R1" t="s">
        <v>5</v>
      </c>
    </row>
    <row r="2" spans="1:18" x14ac:dyDescent="0.35">
      <c r="A2">
        <v>1</v>
      </c>
      <c r="I2">
        <f>PI()*(2.1^2)*D2</f>
        <v>0</v>
      </c>
      <c r="J2">
        <f>C2-B2</f>
        <v>0</v>
      </c>
      <c r="K2">
        <f>E2-B2</f>
        <v>0</v>
      </c>
      <c r="L2">
        <f>F2-B2</f>
        <v>0</v>
      </c>
      <c r="M2">
        <f>G2-B2</f>
        <v>0</v>
      </c>
      <c r="N2" t="e">
        <f>K2/I2</f>
        <v>#DIV/0!</v>
      </c>
      <c r="O2">
        <f>K2-L2</f>
        <v>0</v>
      </c>
      <c r="P2" t="e">
        <f>O2/K2</f>
        <v>#DIV/0!</v>
      </c>
      <c r="Q2" s="3" t="s">
        <v>7</v>
      </c>
      <c r="R2" s="2"/>
    </row>
    <row r="3" spans="1:18" x14ac:dyDescent="0.35">
      <c r="A3">
        <v>2</v>
      </c>
      <c r="I3">
        <f t="shared" ref="I3:I25" si="0">PI()*(2.1^2)*D3</f>
        <v>0</v>
      </c>
      <c r="J3">
        <f t="shared" ref="J3:J25" si="1">C3-B3</f>
        <v>0</v>
      </c>
      <c r="K3">
        <f t="shared" ref="K3:K25" si="2">E3-B3</f>
        <v>0</v>
      </c>
      <c r="L3">
        <f t="shared" ref="L3:L25" si="3">F3-B3</f>
        <v>0</v>
      </c>
      <c r="M3">
        <f t="shared" ref="M3:M25" si="4">G3-B3</f>
        <v>0</v>
      </c>
      <c r="N3" t="e">
        <f t="shared" ref="N3:N25" si="5">K3/I3</f>
        <v>#DIV/0!</v>
      </c>
      <c r="O3">
        <f t="shared" ref="O3:O25" si="6">K3-L3</f>
        <v>0</v>
      </c>
      <c r="P3" t="e">
        <f t="shared" ref="P3:P25" si="7">O3/K3</f>
        <v>#DIV/0!</v>
      </c>
      <c r="Q3" s="3" t="s">
        <v>8</v>
      </c>
      <c r="R3" s="2"/>
    </row>
    <row r="4" spans="1:18" x14ac:dyDescent="0.35">
      <c r="A4">
        <v>3</v>
      </c>
      <c r="I4">
        <f t="shared" si="0"/>
        <v>0</v>
      </c>
      <c r="J4">
        <f t="shared" si="1"/>
        <v>0</v>
      </c>
      <c r="K4">
        <f t="shared" si="2"/>
        <v>0</v>
      </c>
      <c r="L4">
        <f t="shared" si="3"/>
        <v>0</v>
      </c>
      <c r="M4">
        <f t="shared" si="4"/>
        <v>0</v>
      </c>
      <c r="N4" t="e">
        <f t="shared" si="5"/>
        <v>#DIV/0!</v>
      </c>
      <c r="O4">
        <f t="shared" si="6"/>
        <v>0</v>
      </c>
      <c r="P4" t="e">
        <f t="shared" si="7"/>
        <v>#DIV/0!</v>
      </c>
      <c r="Q4" s="3"/>
      <c r="R4" s="2"/>
    </row>
    <row r="5" spans="1:18" x14ac:dyDescent="0.35">
      <c r="A5">
        <v>4</v>
      </c>
      <c r="I5">
        <f t="shared" si="0"/>
        <v>0</v>
      </c>
      <c r="J5">
        <f t="shared" si="1"/>
        <v>0</v>
      </c>
      <c r="K5">
        <f t="shared" si="2"/>
        <v>0</v>
      </c>
      <c r="L5">
        <f t="shared" si="3"/>
        <v>0</v>
      </c>
      <c r="M5">
        <f t="shared" si="4"/>
        <v>0</v>
      </c>
      <c r="N5" t="e">
        <f t="shared" si="5"/>
        <v>#DIV/0!</v>
      </c>
      <c r="O5">
        <f t="shared" si="6"/>
        <v>0</v>
      </c>
      <c r="P5" t="e">
        <f t="shared" si="7"/>
        <v>#DIV/0!</v>
      </c>
      <c r="Q5" s="3"/>
      <c r="R5" s="2"/>
    </row>
    <row r="6" spans="1:18" x14ac:dyDescent="0.35">
      <c r="A6">
        <v>5</v>
      </c>
      <c r="I6">
        <f t="shared" si="0"/>
        <v>0</v>
      </c>
      <c r="J6">
        <f t="shared" si="1"/>
        <v>0</v>
      </c>
      <c r="K6">
        <f t="shared" si="2"/>
        <v>0</v>
      </c>
      <c r="L6">
        <f t="shared" si="3"/>
        <v>0</v>
      </c>
      <c r="M6">
        <f t="shared" si="4"/>
        <v>0</v>
      </c>
      <c r="N6" t="e">
        <f t="shared" si="5"/>
        <v>#DIV/0!</v>
      </c>
      <c r="O6">
        <f t="shared" si="6"/>
        <v>0</v>
      </c>
      <c r="P6" t="e">
        <f t="shared" si="7"/>
        <v>#DIV/0!</v>
      </c>
      <c r="Q6" s="3"/>
      <c r="R6" s="2"/>
    </row>
    <row r="7" spans="1:18" x14ac:dyDescent="0.35">
      <c r="A7">
        <v>6</v>
      </c>
      <c r="I7">
        <f t="shared" si="0"/>
        <v>0</v>
      </c>
      <c r="J7">
        <f t="shared" si="1"/>
        <v>0</v>
      </c>
      <c r="K7">
        <f t="shared" si="2"/>
        <v>0</v>
      </c>
      <c r="L7">
        <f t="shared" si="3"/>
        <v>0</v>
      </c>
      <c r="M7">
        <f t="shared" si="4"/>
        <v>0</v>
      </c>
      <c r="N7" t="e">
        <f t="shared" si="5"/>
        <v>#DIV/0!</v>
      </c>
      <c r="O7">
        <f t="shared" si="6"/>
        <v>0</v>
      </c>
      <c r="P7" t="e">
        <f t="shared" si="7"/>
        <v>#DIV/0!</v>
      </c>
      <c r="Q7" s="3"/>
      <c r="R7" s="2"/>
    </row>
    <row r="8" spans="1:18" x14ac:dyDescent="0.35">
      <c r="A8">
        <v>7</v>
      </c>
      <c r="I8">
        <f t="shared" si="0"/>
        <v>0</v>
      </c>
      <c r="J8">
        <f t="shared" si="1"/>
        <v>0</v>
      </c>
      <c r="K8">
        <f t="shared" si="2"/>
        <v>0</v>
      </c>
      <c r="L8">
        <f t="shared" si="3"/>
        <v>0</v>
      </c>
      <c r="M8">
        <f t="shared" si="4"/>
        <v>0</v>
      </c>
      <c r="N8" t="e">
        <f t="shared" si="5"/>
        <v>#DIV/0!</v>
      </c>
      <c r="O8">
        <f t="shared" si="6"/>
        <v>0</v>
      </c>
      <c r="P8" t="e">
        <f t="shared" si="7"/>
        <v>#DIV/0!</v>
      </c>
      <c r="Q8" s="3"/>
      <c r="R8" s="2"/>
    </row>
    <row r="9" spans="1:18" x14ac:dyDescent="0.35">
      <c r="A9">
        <v>8</v>
      </c>
      <c r="I9">
        <f t="shared" si="0"/>
        <v>0</v>
      </c>
      <c r="J9">
        <f t="shared" si="1"/>
        <v>0</v>
      </c>
      <c r="K9">
        <f t="shared" si="2"/>
        <v>0</v>
      </c>
      <c r="L9">
        <f t="shared" si="3"/>
        <v>0</v>
      </c>
      <c r="M9">
        <f t="shared" si="4"/>
        <v>0</v>
      </c>
      <c r="N9" t="e">
        <f t="shared" si="5"/>
        <v>#DIV/0!</v>
      </c>
      <c r="O9">
        <f t="shared" si="6"/>
        <v>0</v>
      </c>
      <c r="P9" t="e">
        <f t="shared" si="7"/>
        <v>#DIV/0!</v>
      </c>
      <c r="Q9" s="3"/>
      <c r="R9" s="2"/>
    </row>
    <row r="10" spans="1:18" x14ac:dyDescent="0.35">
      <c r="A10">
        <v>9</v>
      </c>
      <c r="I10">
        <f t="shared" si="0"/>
        <v>0</v>
      </c>
      <c r="J10">
        <f t="shared" si="1"/>
        <v>0</v>
      </c>
      <c r="K10">
        <f t="shared" si="2"/>
        <v>0</v>
      </c>
      <c r="L10">
        <f t="shared" si="3"/>
        <v>0</v>
      </c>
      <c r="M10">
        <f t="shared" si="4"/>
        <v>0</v>
      </c>
      <c r="N10" t="e">
        <f t="shared" si="5"/>
        <v>#DIV/0!</v>
      </c>
      <c r="O10">
        <f t="shared" si="6"/>
        <v>0</v>
      </c>
      <c r="P10" t="e">
        <f t="shared" si="7"/>
        <v>#DIV/0!</v>
      </c>
      <c r="Q10" s="3"/>
      <c r="R10" s="2"/>
    </row>
    <row r="11" spans="1:18" x14ac:dyDescent="0.35">
      <c r="A11">
        <v>10</v>
      </c>
      <c r="I11">
        <f t="shared" si="0"/>
        <v>0</v>
      </c>
      <c r="J11">
        <f t="shared" si="1"/>
        <v>0</v>
      </c>
      <c r="K11">
        <f t="shared" si="2"/>
        <v>0</v>
      </c>
      <c r="L11">
        <f t="shared" si="3"/>
        <v>0</v>
      </c>
      <c r="M11">
        <f t="shared" si="4"/>
        <v>0</v>
      </c>
      <c r="N11" t="e">
        <f t="shared" si="5"/>
        <v>#DIV/0!</v>
      </c>
      <c r="O11">
        <f t="shared" si="6"/>
        <v>0</v>
      </c>
      <c r="P11" t="e">
        <f t="shared" si="7"/>
        <v>#DIV/0!</v>
      </c>
      <c r="Q11" s="3"/>
      <c r="R11" s="2"/>
    </row>
    <row r="12" spans="1:18" x14ac:dyDescent="0.35">
      <c r="A12">
        <v>11</v>
      </c>
      <c r="I12">
        <f t="shared" si="0"/>
        <v>0</v>
      </c>
      <c r="J12">
        <f t="shared" si="1"/>
        <v>0</v>
      </c>
      <c r="K12">
        <f t="shared" si="2"/>
        <v>0</v>
      </c>
      <c r="L12">
        <f t="shared" si="3"/>
        <v>0</v>
      </c>
      <c r="M12">
        <f t="shared" si="4"/>
        <v>0</v>
      </c>
      <c r="N12" t="e">
        <f t="shared" si="5"/>
        <v>#DIV/0!</v>
      </c>
      <c r="O12">
        <f t="shared" si="6"/>
        <v>0</v>
      </c>
      <c r="P12" t="e">
        <f t="shared" si="7"/>
        <v>#DIV/0!</v>
      </c>
      <c r="Q12" s="3"/>
      <c r="R12" s="2"/>
    </row>
    <row r="13" spans="1:18" x14ac:dyDescent="0.35">
      <c r="A13">
        <v>12</v>
      </c>
      <c r="I13">
        <f t="shared" si="0"/>
        <v>0</v>
      </c>
      <c r="J13">
        <f t="shared" si="1"/>
        <v>0</v>
      </c>
      <c r="K13">
        <f t="shared" si="2"/>
        <v>0</v>
      </c>
      <c r="L13">
        <f t="shared" si="3"/>
        <v>0</v>
      </c>
      <c r="M13">
        <f t="shared" si="4"/>
        <v>0</v>
      </c>
      <c r="N13" t="e">
        <f t="shared" si="5"/>
        <v>#DIV/0!</v>
      </c>
      <c r="O13">
        <f t="shared" si="6"/>
        <v>0</v>
      </c>
      <c r="P13" t="e">
        <f t="shared" si="7"/>
        <v>#DIV/0!</v>
      </c>
      <c r="Q13" s="3"/>
      <c r="R13" s="2"/>
    </row>
    <row r="14" spans="1:18" x14ac:dyDescent="0.35">
      <c r="A14">
        <v>13</v>
      </c>
      <c r="I14">
        <f t="shared" si="0"/>
        <v>0</v>
      </c>
      <c r="J14">
        <f t="shared" si="1"/>
        <v>0</v>
      </c>
      <c r="K14">
        <f t="shared" si="2"/>
        <v>0</v>
      </c>
      <c r="L14">
        <f t="shared" si="3"/>
        <v>0</v>
      </c>
      <c r="M14">
        <f t="shared" si="4"/>
        <v>0</v>
      </c>
      <c r="N14" t="e">
        <f t="shared" si="5"/>
        <v>#DIV/0!</v>
      </c>
      <c r="O14">
        <f t="shared" si="6"/>
        <v>0</v>
      </c>
      <c r="P14" t="e">
        <f t="shared" si="7"/>
        <v>#DIV/0!</v>
      </c>
      <c r="Q14" s="3"/>
      <c r="R14" s="2"/>
    </row>
    <row r="15" spans="1:18" x14ac:dyDescent="0.35">
      <c r="A15">
        <v>14</v>
      </c>
      <c r="I15">
        <f t="shared" si="0"/>
        <v>0</v>
      </c>
      <c r="J15">
        <f t="shared" si="1"/>
        <v>0</v>
      </c>
      <c r="K15">
        <f t="shared" si="2"/>
        <v>0</v>
      </c>
      <c r="L15">
        <f t="shared" si="3"/>
        <v>0</v>
      </c>
      <c r="M15">
        <f t="shared" si="4"/>
        <v>0</v>
      </c>
      <c r="N15" t="e">
        <f t="shared" si="5"/>
        <v>#DIV/0!</v>
      </c>
      <c r="O15">
        <f t="shared" si="6"/>
        <v>0</v>
      </c>
      <c r="P15" t="e">
        <f t="shared" si="7"/>
        <v>#DIV/0!</v>
      </c>
      <c r="Q15" s="3"/>
      <c r="R15" s="2"/>
    </row>
    <row r="16" spans="1:18" x14ac:dyDescent="0.35">
      <c r="A16">
        <v>15</v>
      </c>
      <c r="I16">
        <f t="shared" si="0"/>
        <v>0</v>
      </c>
      <c r="J16">
        <f t="shared" si="1"/>
        <v>0</v>
      </c>
      <c r="K16">
        <f t="shared" si="2"/>
        <v>0</v>
      </c>
      <c r="L16">
        <f t="shared" si="3"/>
        <v>0</v>
      </c>
      <c r="M16">
        <f t="shared" si="4"/>
        <v>0</v>
      </c>
      <c r="N16" t="e">
        <f t="shared" si="5"/>
        <v>#DIV/0!</v>
      </c>
      <c r="O16">
        <f t="shared" si="6"/>
        <v>0</v>
      </c>
      <c r="P16" t="e">
        <f t="shared" si="7"/>
        <v>#DIV/0!</v>
      </c>
      <c r="Q16" s="3"/>
      <c r="R16" s="2"/>
    </row>
    <row r="17" spans="1:18" x14ac:dyDescent="0.35">
      <c r="A17">
        <v>16</v>
      </c>
      <c r="I17">
        <f t="shared" si="0"/>
        <v>0</v>
      </c>
      <c r="J17">
        <f t="shared" si="1"/>
        <v>0</v>
      </c>
      <c r="K17">
        <f t="shared" si="2"/>
        <v>0</v>
      </c>
      <c r="L17">
        <f t="shared" si="3"/>
        <v>0</v>
      </c>
      <c r="M17">
        <f t="shared" si="4"/>
        <v>0</v>
      </c>
      <c r="N17" t="e">
        <f t="shared" si="5"/>
        <v>#DIV/0!</v>
      </c>
      <c r="O17">
        <f t="shared" si="6"/>
        <v>0</v>
      </c>
      <c r="P17" t="e">
        <f t="shared" si="7"/>
        <v>#DIV/0!</v>
      </c>
      <c r="Q17" s="3"/>
      <c r="R17" s="2"/>
    </row>
    <row r="18" spans="1:18" x14ac:dyDescent="0.35">
      <c r="A18">
        <v>17</v>
      </c>
      <c r="I18">
        <f t="shared" si="0"/>
        <v>0</v>
      </c>
      <c r="J18">
        <f t="shared" si="1"/>
        <v>0</v>
      </c>
      <c r="K18">
        <f t="shared" si="2"/>
        <v>0</v>
      </c>
      <c r="L18">
        <f t="shared" si="3"/>
        <v>0</v>
      </c>
      <c r="M18">
        <f t="shared" si="4"/>
        <v>0</v>
      </c>
      <c r="N18" t="e">
        <f t="shared" si="5"/>
        <v>#DIV/0!</v>
      </c>
      <c r="O18">
        <f t="shared" si="6"/>
        <v>0</v>
      </c>
      <c r="P18" t="e">
        <f t="shared" si="7"/>
        <v>#DIV/0!</v>
      </c>
      <c r="Q18" s="3"/>
      <c r="R18" s="2"/>
    </row>
    <row r="19" spans="1:18" x14ac:dyDescent="0.35">
      <c r="A19">
        <v>18</v>
      </c>
      <c r="I19">
        <f t="shared" si="0"/>
        <v>0</v>
      </c>
      <c r="J19">
        <f t="shared" si="1"/>
        <v>0</v>
      </c>
      <c r="K19">
        <f t="shared" si="2"/>
        <v>0</v>
      </c>
      <c r="L19">
        <f t="shared" si="3"/>
        <v>0</v>
      </c>
      <c r="M19">
        <f t="shared" si="4"/>
        <v>0</v>
      </c>
      <c r="N19" t="e">
        <f t="shared" si="5"/>
        <v>#DIV/0!</v>
      </c>
      <c r="O19">
        <f t="shared" si="6"/>
        <v>0</v>
      </c>
      <c r="P19" t="e">
        <f t="shared" si="7"/>
        <v>#DIV/0!</v>
      </c>
      <c r="Q19" s="3"/>
      <c r="R19" s="2"/>
    </row>
    <row r="20" spans="1:18" x14ac:dyDescent="0.35">
      <c r="A20">
        <v>19</v>
      </c>
      <c r="I20">
        <f t="shared" si="0"/>
        <v>0</v>
      </c>
      <c r="J20">
        <f t="shared" si="1"/>
        <v>0</v>
      </c>
      <c r="K20">
        <f t="shared" si="2"/>
        <v>0</v>
      </c>
      <c r="L20">
        <f t="shared" si="3"/>
        <v>0</v>
      </c>
      <c r="M20">
        <f t="shared" si="4"/>
        <v>0</v>
      </c>
      <c r="N20" t="e">
        <f t="shared" si="5"/>
        <v>#DIV/0!</v>
      </c>
      <c r="O20">
        <f t="shared" si="6"/>
        <v>0</v>
      </c>
      <c r="P20" t="e">
        <f t="shared" si="7"/>
        <v>#DIV/0!</v>
      </c>
      <c r="Q20" s="3"/>
      <c r="R20" s="2"/>
    </row>
    <row r="21" spans="1:18" x14ac:dyDescent="0.35">
      <c r="A21">
        <v>20</v>
      </c>
      <c r="I21">
        <f t="shared" si="0"/>
        <v>0</v>
      </c>
      <c r="J21">
        <f t="shared" si="1"/>
        <v>0</v>
      </c>
      <c r="K21">
        <f t="shared" si="2"/>
        <v>0</v>
      </c>
      <c r="L21">
        <f t="shared" si="3"/>
        <v>0</v>
      </c>
      <c r="M21">
        <f t="shared" si="4"/>
        <v>0</v>
      </c>
      <c r="N21" t="e">
        <f t="shared" si="5"/>
        <v>#DIV/0!</v>
      </c>
      <c r="O21">
        <f t="shared" si="6"/>
        <v>0</v>
      </c>
      <c r="P21" t="e">
        <f t="shared" si="7"/>
        <v>#DIV/0!</v>
      </c>
      <c r="Q21" s="3"/>
      <c r="R21" s="2"/>
    </row>
    <row r="22" spans="1:18" x14ac:dyDescent="0.35">
      <c r="A22">
        <v>21</v>
      </c>
      <c r="I22">
        <f t="shared" si="0"/>
        <v>0</v>
      </c>
      <c r="J22">
        <f t="shared" si="1"/>
        <v>0</v>
      </c>
      <c r="K22">
        <f t="shared" si="2"/>
        <v>0</v>
      </c>
      <c r="L22">
        <f t="shared" si="3"/>
        <v>0</v>
      </c>
      <c r="M22">
        <f t="shared" si="4"/>
        <v>0</v>
      </c>
      <c r="N22" t="e">
        <f t="shared" si="5"/>
        <v>#DIV/0!</v>
      </c>
      <c r="O22">
        <f t="shared" si="6"/>
        <v>0</v>
      </c>
      <c r="P22" t="e">
        <f t="shared" si="7"/>
        <v>#DIV/0!</v>
      </c>
      <c r="Q22" s="3"/>
      <c r="R22" s="2"/>
    </row>
    <row r="23" spans="1:18" x14ac:dyDescent="0.35">
      <c r="A23">
        <v>22</v>
      </c>
      <c r="I23">
        <f t="shared" si="0"/>
        <v>0</v>
      </c>
      <c r="J23">
        <f t="shared" si="1"/>
        <v>0</v>
      </c>
      <c r="K23">
        <f t="shared" si="2"/>
        <v>0</v>
      </c>
      <c r="L23">
        <f t="shared" si="3"/>
        <v>0</v>
      </c>
      <c r="M23">
        <f t="shared" si="4"/>
        <v>0</v>
      </c>
      <c r="N23" t="e">
        <f t="shared" si="5"/>
        <v>#DIV/0!</v>
      </c>
      <c r="O23">
        <f t="shared" si="6"/>
        <v>0</v>
      </c>
      <c r="P23" t="e">
        <f t="shared" si="7"/>
        <v>#DIV/0!</v>
      </c>
      <c r="Q23" s="3"/>
      <c r="R23" s="2"/>
    </row>
    <row r="24" spans="1:18" x14ac:dyDescent="0.35">
      <c r="A24">
        <v>23</v>
      </c>
      <c r="I24">
        <f t="shared" si="0"/>
        <v>0</v>
      </c>
      <c r="J24">
        <f t="shared" si="1"/>
        <v>0</v>
      </c>
      <c r="K24">
        <f t="shared" si="2"/>
        <v>0</v>
      </c>
      <c r="L24">
        <f t="shared" si="3"/>
        <v>0</v>
      </c>
      <c r="M24">
        <f t="shared" si="4"/>
        <v>0</v>
      </c>
      <c r="N24" t="e">
        <f t="shared" si="5"/>
        <v>#DIV/0!</v>
      </c>
      <c r="O24">
        <f t="shared" si="6"/>
        <v>0</v>
      </c>
      <c r="P24" t="e">
        <f t="shared" si="7"/>
        <v>#DIV/0!</v>
      </c>
      <c r="Q24" s="3"/>
      <c r="R24" s="2"/>
    </row>
    <row r="25" spans="1:18" x14ac:dyDescent="0.35">
      <c r="A25">
        <v>24</v>
      </c>
      <c r="I25">
        <f t="shared" si="0"/>
        <v>0</v>
      </c>
      <c r="J25">
        <f t="shared" si="1"/>
        <v>0</v>
      </c>
      <c r="K25">
        <f t="shared" si="2"/>
        <v>0</v>
      </c>
      <c r="L25">
        <f t="shared" si="3"/>
        <v>0</v>
      </c>
      <c r="M25">
        <f t="shared" si="4"/>
        <v>0</v>
      </c>
      <c r="N25" t="e">
        <f t="shared" si="5"/>
        <v>#DIV/0!</v>
      </c>
      <c r="O25">
        <f t="shared" si="6"/>
        <v>0</v>
      </c>
      <c r="P25" t="e">
        <f t="shared" si="7"/>
        <v>#DIV/0!</v>
      </c>
      <c r="Q25" s="3"/>
      <c r="R25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</vt:lpstr>
      <vt:lpstr> Core Locations &amp; Depths</vt:lpstr>
      <vt:lpstr>Raw Data</vt:lpstr>
      <vt:lpstr> Calculations &amp; 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Day, Luke</dc:creator>
  <cp:lastModifiedBy>Luke Day</cp:lastModifiedBy>
  <dcterms:created xsi:type="dcterms:W3CDTF">2024-05-28T18:36:12Z</dcterms:created>
  <dcterms:modified xsi:type="dcterms:W3CDTF">2025-08-05T02:23:42Z</dcterms:modified>
</cp:coreProperties>
</file>